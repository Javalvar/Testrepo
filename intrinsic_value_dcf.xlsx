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insic Value 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B7" headerRowCount="1">
  <autoFilter ref="A1:B7"/>
  <tableColumns count="2">
    <tableColumn id="1" name="Input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17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n"/>
    </row>
    <row r="2">
      <c r="A2" t="inlineStr">
        <is>
          <t>Current Price (USD)</t>
        </is>
      </c>
      <c r="B2" t="n">
        <v>190</v>
      </c>
    </row>
    <row r="3">
      <c r="A3" t="inlineStr">
        <is>
          <t>Shares Outstanding</t>
        </is>
      </c>
      <c r="B3" t="n">
        <v>15500000000</v>
      </c>
    </row>
    <row r="4">
      <c r="A4" t="inlineStr">
        <is>
          <t>Free Cash Flow (Last Year, USD)</t>
        </is>
      </c>
      <c r="B4" t="n">
        <v>100000000000</v>
      </c>
    </row>
    <row r="5">
      <c r="A5" t="inlineStr">
        <is>
          <t>Growth Rate (Years 1-5)</t>
        </is>
      </c>
      <c r="B5" t="n">
        <v>0.05</v>
      </c>
    </row>
    <row r="6">
      <c r="A6" t="inlineStr">
        <is>
          <t>Discount Rate (WACC)</t>
        </is>
      </c>
      <c r="B6" t="n">
        <v>0.09</v>
      </c>
    </row>
    <row r="7">
      <c r="A7" t="inlineStr">
        <is>
          <t>Terminal Growth Rate</t>
        </is>
      </c>
      <c r="B7" t="n">
        <v>0.025</v>
      </c>
    </row>
    <row r="8">
      <c r="A8" t="inlineStr"/>
      <c r="B8" t="inlineStr"/>
    </row>
    <row r="9">
      <c r="A9" t="inlineStr">
        <is>
          <t>Year</t>
        </is>
      </c>
      <c r="B9" t="inlineStr">
        <is>
          <t>Projected FCF</t>
        </is>
      </c>
      <c r="C9" t="inlineStr">
        <is>
          <t>Discounted FCF</t>
        </is>
      </c>
    </row>
    <row r="10">
      <c r="A10" t="n">
        <v>1</v>
      </c>
      <c r="B10">
        <f>$B$3*(1+$B$4)</f>
        <v/>
      </c>
      <c r="C10">
        <f>B10/(1+$B$5)^1</f>
        <v/>
      </c>
    </row>
    <row r="11">
      <c r="A11" t="n">
        <v>2</v>
      </c>
      <c r="B11">
        <f>B10*(1+$B$4)</f>
        <v/>
      </c>
      <c r="C11">
        <f>B11/(1+$B$5)^2</f>
        <v/>
      </c>
    </row>
    <row r="12">
      <c r="A12" t="n">
        <v>3</v>
      </c>
      <c r="B12">
        <f>B11*(1+$B$4)</f>
        <v/>
      </c>
      <c r="C12">
        <f>B12/(1+$B$5)^3</f>
        <v/>
      </c>
    </row>
    <row r="13">
      <c r="A13" t="n">
        <v>4</v>
      </c>
      <c r="B13">
        <f>B12*(1+$B$4)</f>
        <v/>
      </c>
      <c r="C13">
        <f>B13/(1+$B$5)^4</f>
        <v/>
      </c>
    </row>
    <row r="14">
      <c r="A14" t="n">
        <v>5</v>
      </c>
      <c r="B14">
        <f>B13*(1+$B$4)</f>
        <v/>
      </c>
      <c r="C14">
        <f>B14/(1+$B$5)^5</f>
        <v/>
      </c>
    </row>
    <row r="15">
      <c r="A15" t="inlineStr">
        <is>
          <t>Terminal Value</t>
        </is>
      </c>
      <c r="B15">
        <f>B14*(1+$B$6)/($B$5-$B$6)</f>
        <v/>
      </c>
      <c r="C15">
        <f>B15/(1+$B$5)^5</f>
        <v/>
      </c>
    </row>
    <row r="16"/>
    <row r="17">
      <c r="A17" s="1" t="inlineStr">
        <is>
          <t>Intrinsic Value per Share</t>
        </is>
      </c>
      <c r="B17" s="1">
        <f>(SUM(C10:C15)/$B$2)</f>
        <v/>
      </c>
      <c r="C1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2025-11-11T08:33:12Z</dcterms:created>
  <dcterms:modified xmlns:dcterms="http://purl.org/dc/terms/" xmlns:xsi="http://www.w3.org/2001/XMLSchema-instance" xsi:type="dcterms:W3CDTF">2025-11-11T08:33:12Z</dcterms:modified>
</cp:coreProperties>
</file>